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&amp; Revenue Goal" sheetId="1" state="visible" r:id="rId1"/>
    <sheet xmlns:r="http://schemas.openxmlformats.org/officeDocument/2006/relationships" name="Pricing Calculator" sheetId="2" state="visible" r:id="rId2"/>
    <sheet xmlns:r="http://schemas.openxmlformats.org/officeDocument/2006/relationships" name="Quick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25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C4501A"/>
      <sz val="9"/>
    </font>
    <font>
      <name val="Arial"/>
      <b val="1"/>
      <color rgb="FFFFFFFF"/>
      <sz val="10"/>
    </font>
    <font>
      <name val="Arial"/>
      <b val="1"/>
      <color rgb="FF8A7A60"/>
      <sz val="9"/>
    </font>
    <font>
      <name val="Arial"/>
      <i val="1"/>
      <color rgb="FF2C5F7A"/>
      <sz val="9"/>
    </font>
    <font>
      <name val="Arial"/>
      <b val="1"/>
      <color rgb="FF3D6B52"/>
      <sz val="9"/>
    </font>
    <font>
      <name val="Arial"/>
      <color rgb="FF1C1A17"/>
      <sz val="10"/>
    </font>
    <font>
      <name val="Arial"/>
      <i val="1"/>
      <color rgb="FF8A7A60"/>
      <sz val="10"/>
    </font>
    <font>
      <name val="Arial"/>
      <color rgb="FF3D6B52"/>
      <sz val="10"/>
    </font>
    <font>
      <name val="Arial"/>
      <b val="1"/>
      <color rgb="FF3D6B52"/>
      <sz val="10"/>
    </font>
    <font>
      <name val="Arial"/>
      <b val="1"/>
      <color rgb="FFFFFFFF"/>
      <sz val="11"/>
    </font>
    <font>
      <name val="Arial"/>
      <i val="1"/>
      <color rgb="FF3D6B52"/>
      <sz val="9"/>
    </font>
    <font>
      <name val="Arial"/>
      <i val="1"/>
      <color rgb="FF9A7010"/>
      <sz val="9"/>
    </font>
    <font>
      <name val="Arial"/>
      <i val="1"/>
      <color rgb="FF8A7A60"/>
      <sz val="9"/>
    </font>
    <font>
      <name val="Arial"/>
      <b val="1"/>
      <color rgb="FFFFFFFF"/>
      <sz val="12"/>
    </font>
    <font>
      <name val="Arial"/>
      <b val="1"/>
      <color rgb="FFFFFFFF"/>
      <sz val="14"/>
    </font>
    <font>
      <name val="Arial"/>
      <b val="1"/>
      <color rgb="FFC4501A"/>
      <sz val="10"/>
    </font>
    <font>
      <name val="Arial"/>
      <b val="1"/>
      <color rgb="FF1C1A17"/>
      <sz val="10"/>
    </font>
    <font>
      <name val="Arial"/>
      <b val="1"/>
      <color rgb="FFC4501A"/>
      <sz val="12"/>
    </font>
    <font>
      <name val="Arial"/>
      <b val="1"/>
      <color rgb="FFC4501A"/>
      <sz val="9"/>
    </font>
    <font>
      <name val="Arial"/>
      <color rgb="FF1C1A17"/>
      <sz val="9"/>
    </font>
    <font>
      <name val="Arial"/>
      <b val="1"/>
      <i val="1"/>
      <color rgb="FFFFFFFF"/>
      <sz val="11"/>
    </font>
    <font>
      <name val="Arial"/>
      <color rgb="FF3D6B52"/>
      <sz val="9"/>
    </font>
    <font>
      <name val="Arial"/>
      <color rgb="FFC4501A"/>
      <sz val="9"/>
    </font>
  </fonts>
  <fills count="15">
    <fill>
      <patternFill/>
    </fill>
    <fill>
      <patternFill patternType="gray125"/>
    </fill>
    <fill>
      <patternFill patternType="solid">
        <fgColor rgb="FFC4501A"/>
      </patternFill>
    </fill>
    <fill>
      <patternFill patternType="solid">
        <fgColor rgb="FFFDF2EC"/>
      </patternFill>
    </fill>
    <fill>
      <patternFill patternType="solid">
        <fgColor rgb="FF1C1A17"/>
      </patternFill>
    </fill>
    <fill>
      <patternFill patternType="solid">
        <fgColor rgb="FFEDE5D6"/>
      </patternFill>
    </fill>
    <fill>
      <patternFill patternType="solid">
        <fgColor rgb="FFE8F0F8"/>
      </patternFill>
    </fill>
    <fill>
      <patternFill patternType="solid">
        <fgColor rgb="FFF0F7F3"/>
      </patternFill>
    </fill>
    <fill>
      <patternFill patternType="solid">
        <fgColor rgb="FFFBF8F3"/>
      </patternFill>
    </fill>
    <fill>
      <patternFill patternType="solid">
        <fgColor rgb="FFFDFAF0"/>
      </patternFill>
    </fill>
    <fill>
      <patternFill patternType="solid">
        <fgColor rgb="FFD4E8DC"/>
      </patternFill>
    </fill>
    <fill>
      <patternFill patternType="solid">
        <fgColor rgb="FFF5F0E8"/>
      </patternFill>
    </fill>
    <fill>
      <patternFill patternType="solid">
        <fgColor rgb="FF3D6B52"/>
      </patternFill>
    </fill>
    <fill>
      <patternFill patternType="solid">
        <fgColor rgb="FF9A7010"/>
      </patternFill>
    </fill>
    <fill>
      <patternFill patternType="solid">
        <fgColor rgb="FFF2D5C4"/>
      </patternFill>
    </fill>
  </fills>
  <borders count="2">
    <border>
      <left/>
      <right/>
      <top/>
      <bottom/>
      <diagonal/>
    </border>
    <border>
      <left style="thin">
        <color rgb="FFC8BCA8"/>
      </left>
      <right style="thin">
        <color rgb="FFC8BCA8"/>
      </right>
      <top style="thin">
        <color rgb="FFC8BCA8"/>
      </top>
      <bottom style="thin">
        <color rgb="FFC8BCA8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4" borderId="1" applyAlignment="1" pivotButton="0" quotePrefix="0" xfId="0">
      <alignment horizontal="left" vertical="center" indent="1"/>
    </xf>
    <xf numFmtId="0" fontId="0" fillId="4" borderId="1" pivotButton="0" quotePrefix="0" xfId="0"/>
    <xf numFmtId="0" fontId="4" fillId="5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 indent="1"/>
    </xf>
    <xf numFmtId="0" fontId="0" fillId="6" borderId="1" pivotButton="0" quotePrefix="0" xfId="0"/>
    <xf numFmtId="0" fontId="6" fillId="7" borderId="1" applyAlignment="1" pivotButton="0" quotePrefix="0" xfId="0">
      <alignment horizontal="left" vertical="center" indent="1"/>
    </xf>
    <xf numFmtId="0" fontId="0" fillId="7" borderId="1" pivotButton="0" quotePrefix="0" xfId="0"/>
    <xf numFmtId="0" fontId="7" fillId="8" borderId="1" applyAlignment="1" pivotButton="0" quotePrefix="0" xfId="0">
      <alignment horizontal="left" vertical="center" indent="2"/>
    </xf>
    <xf numFmtId="164" fontId="8" fillId="8" borderId="1" applyAlignment="1" pivotButton="0" quotePrefix="0" xfId="0">
      <alignment horizontal="right" vertical="center"/>
    </xf>
    <xf numFmtId="164" fontId="7" fillId="9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left" vertical="center" indent="2"/>
    </xf>
    <xf numFmtId="164" fontId="8" fillId="7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left" vertical="center" indent="1"/>
    </xf>
    <xf numFmtId="0" fontId="0" fillId="10" borderId="1" pivotButton="0" quotePrefix="0" xfId="0"/>
    <xf numFmtId="164" fontId="10" fillId="10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 indent="2"/>
    </xf>
    <xf numFmtId="164" fontId="11" fillId="4" borderId="1" applyAlignment="1" pivotButton="0" quotePrefix="0" xfId="0">
      <alignment horizontal="right" vertical="center"/>
    </xf>
    <xf numFmtId="0" fontId="12" fillId="7" borderId="1" applyAlignment="1" pivotButton="0" quotePrefix="0" xfId="0">
      <alignment horizontal="left" vertical="center" wrapText="1" indent="1"/>
    </xf>
    <xf numFmtId="0" fontId="2" fillId="3" borderId="1" applyAlignment="1" pivotButton="0" quotePrefix="0" xfId="0">
      <alignment horizontal="left" vertical="center" wrapText="1" indent="1"/>
    </xf>
    <xf numFmtId="0" fontId="0" fillId="3" borderId="1" pivotButton="0" quotePrefix="0" xfId="0"/>
    <xf numFmtId="0" fontId="13" fillId="9" borderId="1" applyAlignment="1" pivotButton="0" quotePrefix="0" xfId="0">
      <alignment horizontal="left" vertical="center" wrapText="1" indent="1"/>
    </xf>
    <xf numFmtId="0" fontId="0" fillId="9" borderId="1" pivotButton="0" quotePrefix="0" xfId="0"/>
    <xf numFmtId="0" fontId="14" fillId="11" borderId="1" applyAlignment="1" pivotButton="0" quotePrefix="0" xfId="0">
      <alignment horizontal="left" vertical="center" wrapText="1" indent="1"/>
    </xf>
    <xf numFmtId="0" fontId="0" fillId="11" borderId="1" pivotButton="0" quotePrefix="0" xfId="0"/>
    <xf numFmtId="0" fontId="3" fillId="12" borderId="1" applyAlignment="1" pivotButton="0" quotePrefix="0" xfId="0">
      <alignment horizontal="left" vertical="center" indent="1"/>
    </xf>
    <xf numFmtId="0" fontId="0" fillId="12" borderId="1" pivotButton="0" quotePrefix="0" xfId="0"/>
    <xf numFmtId="164" fontId="11" fillId="12" borderId="1" applyAlignment="1" pivotButton="0" quotePrefix="0" xfId="0">
      <alignment horizontal="right" vertical="center"/>
    </xf>
    <xf numFmtId="164" fontId="7" fillId="8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right" vertical="center"/>
    </xf>
    <xf numFmtId="9" fontId="8" fillId="8" borderId="1" applyAlignment="1" pivotButton="0" quotePrefix="0" xfId="0">
      <alignment horizontal="right" vertical="center"/>
    </xf>
    <xf numFmtId="9" fontId="7" fillId="9" borderId="1" applyAlignment="1" pivotButton="0" quotePrefix="0" xfId="0">
      <alignment horizontal="right" vertical="center"/>
    </xf>
    <xf numFmtId="0" fontId="13" fillId="9" borderId="0" applyAlignment="1" pivotButton="0" quotePrefix="0" xfId="0">
      <alignment horizontal="left" vertical="center" indent="1"/>
    </xf>
    <xf numFmtId="0" fontId="0" fillId="9" borderId="0" pivotButton="0" quotePrefix="0" xfId="0"/>
    <xf numFmtId="0" fontId="3" fillId="13" borderId="1" applyAlignment="1" pivotButton="0" quotePrefix="0" xfId="0">
      <alignment horizontal="left" vertical="center" indent="1"/>
    </xf>
    <xf numFmtId="0" fontId="0" fillId="13" borderId="1" pivotButton="0" quotePrefix="0" xfId="0"/>
    <xf numFmtId="164" fontId="11" fillId="13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4" fillId="14" borderId="1" applyAlignment="1" pivotButton="0" quotePrefix="0" xfId="0">
      <alignment horizontal="left" vertical="center" indent="1"/>
    </xf>
    <xf numFmtId="0" fontId="4" fillId="14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left" vertical="center" indent="1"/>
    </xf>
    <xf numFmtId="164" fontId="8" fillId="3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0" fontId="15" fillId="2" borderId="1" applyAlignment="1" pivotButton="0" quotePrefix="0" xfId="0">
      <alignment horizontal="left" vertical="center" indent="1"/>
    </xf>
    <xf numFmtId="164" fontId="16" fillId="2" borderId="1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 indent="1"/>
    </xf>
    <xf numFmtId="0" fontId="1" fillId="12" borderId="0" applyAlignment="1" pivotButton="0" quotePrefix="0" xfId="0">
      <alignment horizontal="left" vertical="center" indent="1"/>
    </xf>
    <xf numFmtId="0" fontId="0" fillId="12" borderId="0" pivotButton="0" quotePrefix="0" xfId="0"/>
    <xf numFmtId="0" fontId="12" fillId="7" borderId="0" applyAlignment="1" pivotButton="0" quotePrefix="0" xfId="0">
      <alignment horizontal="left" vertical="center" indent="1"/>
    </xf>
    <xf numFmtId="0" fontId="0" fillId="7" borderId="0" pivotButton="0" quotePrefix="0" xfId="0"/>
    <xf numFmtId="1" fontId="8" fillId="8" borderId="1" applyAlignment="1" pivotButton="0" quotePrefix="0" xfId="0">
      <alignment horizontal="right" vertical="center"/>
    </xf>
    <xf numFmtId="1" fontId="7" fillId="9" borderId="1" applyAlignment="1" pivotButton="0" quotePrefix="0" xfId="0">
      <alignment horizontal="right" vertical="center"/>
    </xf>
    <xf numFmtId="1" fontId="7" fillId="8" borderId="1" applyAlignment="1" pivotButton="0" quotePrefix="0" xfId="0">
      <alignment horizontal="right" vertical="center"/>
    </xf>
    <xf numFmtId="0" fontId="13" fillId="9" borderId="0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left" vertical="center" wrapText="1" indent="1"/>
    </xf>
    <xf numFmtId="0" fontId="7" fillId="11" borderId="1" applyAlignment="1" pivotButton="0" quotePrefix="0" xfId="0">
      <alignment horizontal="left" vertical="center" indent="2"/>
    </xf>
    <xf numFmtId="0" fontId="10" fillId="11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left" vertical="center" indent="2"/>
    </xf>
    <xf numFmtId="0" fontId="17" fillId="3" borderId="1" applyAlignment="1" pivotButton="0" quotePrefix="0" xfId="0">
      <alignment horizontal="center" vertical="center"/>
    </xf>
    <xf numFmtId="164" fontId="11" fillId="2" borderId="1" applyAlignment="1" pivotButton="0" quotePrefix="0" xfId="0">
      <alignment horizontal="right" vertical="center"/>
    </xf>
    <xf numFmtId="0" fontId="2" fillId="3" borderId="0" applyAlignment="1" pivotButton="0" quotePrefix="0" xfId="0">
      <alignment horizontal="left" vertical="center" wrapText="1" indent="1"/>
    </xf>
    <xf numFmtId="165" fontId="8" fillId="8" borderId="1" applyAlignment="1" pivotButton="0" quotePrefix="0" xfId="0">
      <alignment horizontal="right" vertical="center"/>
    </xf>
    <xf numFmtId="165" fontId="7" fillId="8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 indent="2"/>
    </xf>
    <xf numFmtId="164" fontId="0" fillId="9" borderId="1" applyAlignment="1" pivotButton="0" quotePrefix="0" xfId="0">
      <alignment horizontal="right" vertical="center"/>
    </xf>
    <xf numFmtId="0" fontId="18" fillId="9" borderId="1" applyAlignment="1" pivotButton="0" quotePrefix="0" xfId="0">
      <alignment horizontal="left" vertical="center" indent="1"/>
    </xf>
    <xf numFmtId="164" fontId="19" fillId="9" borderId="1" applyAlignment="1" pivotButton="0" quotePrefix="0" xfId="0">
      <alignment horizontal="right" vertical="center"/>
    </xf>
    <xf numFmtId="0" fontId="1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20" fillId="8" borderId="1" applyAlignment="1" pivotButton="0" quotePrefix="0" xfId="0">
      <alignment horizontal="left" vertical="center" wrapText="1" indent="1"/>
    </xf>
    <xf numFmtId="0" fontId="21" fillId="8" borderId="1" applyAlignment="1" pivotButton="0" quotePrefix="0" xfId="0">
      <alignment horizontal="left" vertical="center" wrapText="1" indent="1"/>
    </xf>
    <xf numFmtId="0" fontId="20" fillId="11" borderId="1" applyAlignment="1" pivotButton="0" quotePrefix="0" xfId="0">
      <alignment horizontal="left" vertical="center" wrapText="1" indent="1"/>
    </xf>
    <xf numFmtId="0" fontId="21" fillId="11" borderId="1" applyAlignment="1" pivotButton="0" quotePrefix="0" xfId="0">
      <alignment horizontal="left" vertical="center" wrapText="1" indent="1"/>
    </xf>
    <xf numFmtId="0" fontId="22" fillId="2" borderId="0" applyAlignment="1" pivotButton="0" quotePrefix="0" xfId="0">
      <alignment horizontal="center" vertical="center" wrapText="1" indent="1"/>
    </xf>
    <xf numFmtId="0" fontId="21" fillId="8" borderId="1" applyAlignment="1" pivotButton="0" quotePrefix="0" xfId="0">
      <alignment horizontal="left" vertical="center" indent="1"/>
    </xf>
    <xf numFmtId="0" fontId="23" fillId="8" borderId="1" applyAlignment="1" pivotButton="0" quotePrefix="0" xfId="0">
      <alignment horizontal="center" vertical="center" indent="1"/>
    </xf>
    <xf numFmtId="0" fontId="21" fillId="11" borderId="1" applyAlignment="1" pivotButton="0" quotePrefix="0" xfId="0">
      <alignment horizontal="left" vertical="center" indent="1"/>
    </xf>
    <xf numFmtId="0" fontId="23" fillId="11" borderId="1" applyAlignment="1" pivotButton="0" quotePrefix="0" xfId="0">
      <alignment horizontal="center" vertical="center" indent="1"/>
    </xf>
    <xf numFmtId="0" fontId="20" fillId="3" borderId="1" applyAlignment="1" pivotButton="0" quotePrefix="0" xfId="0">
      <alignment horizontal="left" vertical="center" indent="1"/>
    </xf>
    <xf numFmtId="0" fontId="20" fillId="3" borderId="1" applyAlignment="1" pivotButton="0" quotePrefix="0" xfId="0">
      <alignment horizontal="center" vertical="center" indent="1"/>
    </xf>
    <xf numFmtId="0" fontId="24" fillId="3" borderId="1" applyAlignment="1" pivotButton="0" quotePrefix="0" xfId="0">
      <alignment horizontal="left" vertical="center" indent="1"/>
    </xf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D7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6" customWidth="1" min="2" max="2"/>
    <col width="20" customWidth="1" min="3" max="3"/>
    <col width="20" customWidth="1" min="4" max="4"/>
    <col width="3" customWidth="1" min="5" max="5"/>
  </cols>
  <sheetData>
    <row r="1" ht="8" customHeight="1"/>
    <row r="2" ht="36" customHeight="1">
      <c r="B2" s="1" t="inlineStr">
        <is>
          <t>Artist Budget &amp; Revenue Planner</t>
        </is>
      </c>
      <c r="C2" s="2" t="n"/>
      <c r="D2" s="2" t="n"/>
    </row>
    <row r="3" ht="16" customHeight="1">
      <c r="B3" s="3" t="inlineStr">
        <is>
          <t>Fill in the yellow cells. Everything else calculates automatically.</t>
        </is>
      </c>
      <c r="C3" s="4" t="n"/>
      <c r="D3" s="4" t="n"/>
    </row>
    <row r="4" ht="6" customHeight="1"/>
    <row r="5" ht="22" customHeight="1">
      <c r="B5" s="5" t="inlineStr">
        <is>
          <t>SECTION 1 — Your Share of Monthly Survival Costs  (your portion — not necessarily the full household)</t>
        </is>
      </c>
      <c r="C5" s="6" t="n"/>
      <c r="D5" s="6" t="n"/>
    </row>
    <row r="6" ht="18" customHeight="1">
      <c r="B6" s="7" t="inlineStr">
        <is>
          <t>Category</t>
        </is>
      </c>
      <c r="C6" s="8" t="inlineStr">
        <is>
          <t>Example — mid-cost city</t>
        </is>
      </c>
      <c r="D6" s="8" t="inlineStr">
        <is>
          <t>Your Share</t>
        </is>
      </c>
    </row>
    <row r="7" ht="16" customHeight="1">
      <c r="B7" s="9" t="inlineStr">
        <is>
          <t>ℹ  In a shared household or relationship, enter YOUR SHARE of each cost — the portion your income needs to cover.</t>
        </is>
      </c>
      <c r="C7" s="10" t="n"/>
      <c r="D7" s="10" t="n"/>
    </row>
    <row r="8" ht="16" customHeight="1">
      <c r="B8" s="11" t="inlineStr">
        <is>
          <t xml:space="preserve">  HOUSING — Renters: fill rent only.  Homeowners: fill all rows that apply.</t>
        </is>
      </c>
      <c r="C8" s="12" t="n"/>
      <c r="D8" s="12" t="n"/>
    </row>
    <row r="9" ht="18" customHeight="1">
      <c r="B9" s="13" t="inlineStr">
        <is>
          <t xml:space="preserve">  Rent  — or —  Mortgage payment</t>
        </is>
      </c>
      <c r="C9" s="14" t="n">
        <v>1200</v>
      </c>
      <c r="D9" s="15" t="n"/>
    </row>
    <row r="10" ht="18" customHeight="1">
      <c r="B10" s="16" t="inlineStr">
        <is>
          <t xml:space="preserve">  Property taxes (monthly estimate)</t>
        </is>
      </c>
      <c r="C10" s="17" t="n"/>
      <c r="D10" s="15" t="n"/>
    </row>
    <row r="11" ht="18" customHeight="1">
      <c r="B11" s="16" t="inlineStr">
        <is>
          <t xml:space="preserve">  Homeowner's insurance (monthly)</t>
        </is>
      </c>
      <c r="C11" s="17" t="n"/>
      <c r="D11" s="15" t="n"/>
    </row>
    <row r="12" ht="18" customHeight="1">
      <c r="B12" s="16" t="inlineStr">
        <is>
          <t xml:space="preserve">  Maintenance / repairs (~1% home value ÷ 12)</t>
        </is>
      </c>
      <c r="C12" s="17" t="n"/>
      <c r="D12" s="15" t="n"/>
    </row>
    <row r="13" ht="18" customHeight="1">
      <c r="B13" s="16" t="inlineStr">
        <is>
          <t xml:space="preserve">  HOA fees (if applicable)</t>
        </is>
      </c>
      <c r="C13" s="17" t="n"/>
      <c r="D13" s="15" t="n"/>
    </row>
    <row r="14" ht="18" customHeight="1">
      <c r="B14" s="18" t="inlineStr">
        <is>
          <t xml:space="preserve">  Housing Subtotal</t>
        </is>
      </c>
      <c r="C14" s="19" t="n"/>
      <c r="D14" s="20">
        <f>SUM(D9:D13)</f>
        <v/>
      </c>
    </row>
    <row r="15" ht="18" customHeight="1">
      <c r="B15" s="21" t="inlineStr">
        <is>
          <t>Food &amp; Groceries</t>
        </is>
      </c>
      <c r="C15" s="14" t="n">
        <v>400</v>
      </c>
      <c r="D15" s="15" t="n"/>
    </row>
    <row r="16" ht="18" customHeight="1">
      <c r="B16" s="21" t="inlineStr">
        <is>
          <t>Health &amp; Dental Care incl. Insurance</t>
        </is>
      </c>
      <c r="C16" s="14" t="n">
        <v>400</v>
      </c>
      <c r="D16" s="15" t="n"/>
    </row>
    <row r="17" ht="18" customHeight="1">
      <c r="B17" s="21" t="inlineStr">
        <is>
          <t>Utilities + Phone + Internet</t>
        </is>
      </c>
      <c r="C17" s="14" t="n">
        <v>250</v>
      </c>
      <c r="D17" s="15" t="n"/>
    </row>
    <row r="18" ht="18" customHeight="1">
      <c r="B18" s="21" t="inlineStr">
        <is>
          <t>Transportation (car payment, insurance, gas, transit)</t>
        </is>
      </c>
      <c r="C18" s="14" t="n">
        <v>350</v>
      </c>
      <c r="D18" s="15" t="n"/>
    </row>
    <row r="19" ht="18" customHeight="1">
      <c r="B19" s="21" t="inlineStr">
        <is>
          <t>Other Debt Payments (student loans, car, medical, etc.)</t>
        </is>
      </c>
      <c r="C19" s="14" t="n">
        <v>350</v>
      </c>
      <c r="D19" s="15" t="n"/>
    </row>
    <row r="20" ht="18" customHeight="1">
      <c r="B20" s="21" t="inlineStr">
        <is>
          <t>Dependents — childcare, school, related costs</t>
        </is>
      </c>
      <c r="C20" s="14" t="n">
        <v>0</v>
      </c>
      <c r="D20" s="15" t="n"/>
    </row>
    <row r="21" ht="18" customHeight="1">
      <c r="B21" s="21" t="inlineStr">
        <is>
          <t>Entertainment, Subscriptions &amp; Personal</t>
        </is>
      </c>
      <c r="C21" s="14" t="n">
        <v>150</v>
      </c>
      <c r="D21" s="15" t="n"/>
    </row>
    <row r="22" ht="18" customHeight="1">
      <c r="B22" s="21" t="inlineStr">
        <is>
          <t>Studio / Material Costs</t>
        </is>
      </c>
      <c r="C22" s="14" t="n">
        <v>250</v>
      </c>
      <c r="D22" s="15" t="n"/>
    </row>
    <row r="23" ht="18" customHeight="1">
      <c r="B23" s="21" t="inlineStr">
        <is>
          <t>Emergency Savings</t>
        </is>
      </c>
      <c r="C23" s="14" t="n">
        <v>200</v>
      </c>
      <c r="D23" s="15" t="n"/>
    </row>
    <row r="24" ht="24" customHeight="1">
      <c r="B24" s="5" t="inlineStr">
        <is>
          <t>Total Monthly Survival (your share)</t>
        </is>
      </c>
      <c r="C24" s="6" t="n"/>
      <c r="D24" s="22">
        <f>D14+SUM(D15:D23)</f>
        <v/>
      </c>
    </row>
    <row r="25" ht="18" customHeight="1">
      <c r="B25" s="23" t="inlineStr">
        <is>
          <t>↑  Homeowners: property tax + insurance + maintenance often add $400–900/month on top of the mortgage.</t>
        </is>
      </c>
      <c r="C25" s="12" t="n"/>
      <c r="D25" s="12" t="n"/>
    </row>
    <row r="26" ht="18" customHeight="1">
      <c r="B26" s="24" t="inlineStr">
        <is>
          <t>↑  Dental is often not covered by marketplace plans. Factor in out-of-pocket costs if uninsured.</t>
        </is>
      </c>
      <c r="C26" s="25" t="n"/>
      <c r="D26" s="25" t="n"/>
    </row>
    <row r="27" ht="18" customHeight="1">
      <c r="B27" s="24" t="inlineStr">
        <is>
          <t>↑  Other debt: student loans avg ~$350/mo. Medical debt, car loans, personal loans all count. Be honest.</t>
        </is>
      </c>
      <c r="C27" s="25" t="n"/>
      <c r="D27" s="25" t="n"/>
    </row>
    <row r="28" ht="18" customHeight="1">
      <c r="B28" s="26" t="inlineStr">
        <is>
          <t>↑  Dependents: childcare alone can be $1,500–3,000/month. If you have kids, this number just went up significantly.</t>
        </is>
      </c>
      <c r="C28" s="27" t="n"/>
      <c r="D28" s="27" t="n"/>
    </row>
    <row r="29" ht="18" customHeight="1">
      <c r="B29" s="28" t="inlineStr">
        <is>
          <t>↑  Entertainment / subscriptions: Netflix, gym, Spotify, dining out. Include it — pretending you don't spend it doesn't help.</t>
        </is>
      </c>
      <c r="C29" s="29" t="n"/>
      <c r="D29" s="29" t="n"/>
    </row>
    <row r="30" ht="6" customHeight="1"/>
    <row r="31" ht="22" customHeight="1">
      <c r="B31" s="30" t="inlineStr">
        <is>
          <t>SECTION 1B — Other Income That Already Covers Some Costs  (reduces what art needs to generate)</t>
        </is>
      </c>
      <c r="C31" s="31" t="n"/>
      <c r="D31" s="31" t="n"/>
    </row>
    <row r="32" ht="18" customHeight="1">
      <c r="B32" s="7" t="inlineStr">
        <is>
          <t>Income Source</t>
        </is>
      </c>
      <c r="C32" s="8" t="inlineStr">
        <is>
          <t>Example / Month</t>
        </is>
      </c>
      <c r="D32" s="8" t="inlineStr">
        <is>
          <t>Your Amount</t>
        </is>
      </c>
    </row>
    <row r="33" ht="24" customHeight="1">
      <c r="B33" s="23" t="inlineStr">
        <is>
          <t>ℹ  If a partner's income, pension, Social Security, or part-time job already covers some bills, enter your monthly amount. This reduces what your art practice needs to earn.</t>
        </is>
      </c>
      <c r="C33" s="12" t="n"/>
      <c r="D33" s="12" t="n"/>
    </row>
    <row r="34" ht="18" customHeight="1">
      <c r="B34" s="21" t="inlineStr">
        <is>
          <t>Part-time job / side work</t>
        </is>
      </c>
      <c r="C34" s="14" t="n"/>
      <c r="D34" s="15" t="n"/>
    </row>
    <row r="35" ht="18" customHeight="1">
      <c r="B35" s="21" t="inlineStr">
        <is>
          <t>Partner / spouse income contribution</t>
        </is>
      </c>
      <c r="C35" s="14" t="n"/>
      <c r="D35" s="15" t="n"/>
    </row>
    <row r="36" ht="18" customHeight="1">
      <c r="B36" s="21" t="inlineStr">
        <is>
          <t>Social Security</t>
        </is>
      </c>
      <c r="C36" s="14" t="n"/>
      <c r="D36" s="15" t="n"/>
    </row>
    <row r="37" ht="18" customHeight="1">
      <c r="B37" s="21" t="inlineStr">
        <is>
          <t>Pension</t>
        </is>
      </c>
      <c r="C37" s="14" t="n"/>
      <c r="D37" s="15" t="n"/>
    </row>
    <row r="38" ht="18" customHeight="1">
      <c r="B38" s="21" t="inlineStr">
        <is>
          <t>Rental income</t>
        </is>
      </c>
      <c r="C38" s="14" t="n"/>
      <c r="D38" s="15" t="n"/>
    </row>
    <row r="39" ht="18" customHeight="1">
      <c r="B39" s="21" t="inlineStr">
        <is>
          <t>Other regular income</t>
        </is>
      </c>
      <c r="C39" s="14" t="n"/>
      <c r="D39" s="15" t="n"/>
    </row>
    <row r="40" ht="24" customHeight="1">
      <c r="B40" s="30" t="inlineStr">
        <is>
          <t>Total Other Monthly Income</t>
        </is>
      </c>
      <c r="C40" s="31" t="n"/>
      <c r="D40" s="32">
        <f>SUM(D34:D39)</f>
        <v/>
      </c>
    </row>
    <row r="41" ht="6" customHeight="1"/>
    <row r="42" ht="22" customHeight="1">
      <c r="B42" s="5" t="inlineStr">
        <is>
          <t>SECTION 2 — Annual Living Cost (net — after other income)</t>
        </is>
      </c>
      <c r="C42" s="6" t="n"/>
      <c r="D42" s="6" t="n"/>
    </row>
    <row r="43" ht="18" customHeight="1">
      <c r="B43" s="7" t="inlineStr"/>
      <c r="C43" s="8" t="inlineStr">
        <is>
          <t>Example</t>
        </is>
      </c>
      <c r="D43" s="8" t="inlineStr">
        <is>
          <t>Your Number</t>
        </is>
      </c>
    </row>
    <row r="44" ht="18" customHeight="1">
      <c r="B44" s="21" t="inlineStr">
        <is>
          <t>Monthly Survival Total (auto-linked)</t>
        </is>
      </c>
      <c r="C44" s="14" t="n">
        <v>2800</v>
      </c>
      <c r="D44" s="33">
        <f>D24</f>
        <v/>
      </c>
    </row>
    <row r="45" ht="18" customHeight="1">
      <c r="B45" s="21" t="inlineStr">
        <is>
          <t>× 12 months</t>
        </is>
      </c>
      <c r="C45" s="34" t="n">
        <v>12</v>
      </c>
      <c r="D45" s="35" t="n">
        <v>12</v>
      </c>
    </row>
    <row r="46" ht="18" customHeight="1">
      <c r="B46" s="21" t="inlineStr">
        <is>
          <t>Annual Gross Living Cost</t>
        </is>
      </c>
      <c r="C46" s="14" t="n">
        <v>33600</v>
      </c>
      <c r="D46" s="33">
        <f>D44*D45</f>
        <v/>
      </c>
    </row>
    <row r="47" ht="18" customHeight="1">
      <c r="B47" s="21" t="inlineStr">
        <is>
          <t>Other Annual Income (auto-linked from Section 1B)</t>
        </is>
      </c>
      <c r="C47" s="14" t="n">
        <v>0</v>
      </c>
      <c r="D47" s="33">
        <f>D40*12</f>
        <v/>
      </c>
    </row>
    <row r="48" ht="24" customHeight="1">
      <c r="B48" s="5" t="inlineStr">
        <is>
          <t>Net Annual Living Cost (what art still needs to cover)</t>
        </is>
      </c>
      <c r="C48" s="6" t="n"/>
      <c r="D48" s="22">
        <f>MAX(0,D46-D47)</f>
        <v/>
      </c>
    </row>
    <row r="49" ht="18" customHeight="1">
      <c r="B49" s="23" t="inlineStr">
        <is>
          <t>↑  If other income already covers some costs, this net figure is what your art practice actually needs to generate — which may be much lower than the gross amount.</t>
        </is>
      </c>
      <c r="C49" s="12" t="n"/>
      <c r="D49" s="12" t="n"/>
    </row>
    <row r="50" ht="6" customHeight="1"/>
    <row r="51" ht="22" customHeight="1">
      <c r="B51" s="5" t="inlineStr">
        <is>
          <t>SECTION 3 — Annual Business Costs  (what it costs to run your art practice)</t>
        </is>
      </c>
      <c r="C51" s="6" t="n"/>
      <c r="D51" s="6" t="n"/>
    </row>
    <row r="52" ht="18" customHeight="1">
      <c r="B52" s="7" t="inlineStr">
        <is>
          <t>Category</t>
        </is>
      </c>
      <c r="C52" s="8" t="inlineStr">
        <is>
          <t>Example — glass artist</t>
        </is>
      </c>
      <c r="D52" s="8" t="inlineStr">
        <is>
          <t>Your Number</t>
        </is>
      </c>
    </row>
    <row r="53" ht="18" customHeight="1">
      <c r="B53" s="21" t="inlineStr">
        <is>
          <t>Studio Rent or Access Fees (annual)</t>
        </is>
      </c>
      <c r="C53" s="14" t="n">
        <v>3600</v>
      </c>
      <c r="D53" s="15" t="n"/>
    </row>
    <row r="54" ht="18" customHeight="1">
      <c r="B54" s="21" t="inlineStr">
        <is>
          <t>Materials &amp; Supplies</t>
        </is>
      </c>
      <c r="C54" s="14" t="n">
        <v>3000</v>
      </c>
      <c r="D54" s="15" t="n"/>
    </row>
    <row r="55" ht="18" customHeight="1">
      <c r="B55" s="21" t="inlineStr">
        <is>
          <t>Marketing, Website &amp; Photography</t>
        </is>
      </c>
      <c r="C55" s="14" t="n">
        <v>1200</v>
      </c>
      <c r="D55" s="15" t="n"/>
    </row>
    <row r="56" ht="18" customHeight="1">
      <c r="B56" s="21" t="inlineStr">
        <is>
          <t>Equipment &amp; Tools</t>
        </is>
      </c>
      <c r="C56" s="14" t="n">
        <v>1500</v>
      </c>
      <c r="D56" s="15" t="n"/>
    </row>
    <row r="57" ht="18" customHeight="1">
      <c r="B57" s="21" t="inlineStr">
        <is>
          <t>Show / Event / Booth Fees</t>
        </is>
      </c>
      <c r="C57" s="14" t="n">
        <v>2000</v>
      </c>
      <c r="D57" s="15" t="n"/>
    </row>
    <row r="58" ht="18" customHeight="1">
      <c r="B58" s="21" t="inlineStr">
        <is>
          <t>Shipping &amp; Packaging</t>
        </is>
      </c>
      <c r="C58" s="14" t="n">
        <v>800</v>
      </c>
      <c r="D58" s="15" t="n"/>
    </row>
    <row r="59" ht="18" customHeight="1">
      <c r="B59" s="21" t="inlineStr">
        <is>
          <t>Professional Development &amp; Classes</t>
        </is>
      </c>
      <c r="C59" s="14" t="n">
        <v>600</v>
      </c>
      <c r="D59" s="15" t="n"/>
    </row>
    <row r="60" ht="18" customHeight="1">
      <c r="B60" s="21" t="inlineStr">
        <is>
          <t>Misc / Contingency</t>
        </is>
      </c>
      <c r="C60" s="14" t="n">
        <v>500</v>
      </c>
      <c r="D60" s="15" t="n"/>
    </row>
    <row r="61" ht="24" customHeight="1">
      <c r="B61" s="30" t="inlineStr">
        <is>
          <t>Total Business Costs</t>
        </is>
      </c>
      <c r="C61" s="31" t="n"/>
      <c r="D61" s="32">
        <f>SUM(D53:D60)</f>
        <v/>
      </c>
    </row>
    <row r="62" ht="30" customHeight="1">
      <c r="B62" s="26" t="inlineStr">
        <is>
          <t>⚠  Sales Tax: If you sell direct (shows, website, studio), you may be required to collect and remit sales tax — rates vary by state and sometimes city. It's a pass-through (not your income), but the compliance burden is real. Check your state's requirements and keep records of every sale.</t>
        </is>
      </c>
      <c r="C62" s="27" t="n"/>
      <c r="D62" s="27" t="n"/>
    </row>
    <row r="63" ht="6" customHeight="1"/>
    <row r="64" ht="22" customHeight="1">
      <c r="B64" s="5" t="inlineStr">
        <is>
          <t>SECTION 4 — Taxes &amp; Savings  (the one nobody warns you about)</t>
        </is>
      </c>
      <c r="C64" s="6" t="n"/>
      <c r="D64" s="6" t="n"/>
    </row>
    <row r="65" ht="18" customHeight="1">
      <c r="B65" s="7" t="inlineStr"/>
      <c r="C65" s="8" t="inlineStr">
        <is>
          <t>Example</t>
        </is>
      </c>
      <c r="D65" s="8" t="inlineStr">
        <is>
          <t>Your Number</t>
        </is>
      </c>
    </row>
    <row r="66" ht="18" customHeight="1">
      <c r="B66" s="21" t="inlineStr">
        <is>
          <t>Self-Employment Tax Rate</t>
        </is>
      </c>
      <c r="C66" s="36" t="n">
        <v>0.283</v>
      </c>
      <c r="D66" s="37" t="n"/>
    </row>
    <row r="67" ht="15" customHeight="1">
      <c r="B67" s="38" t="inlineStr">
        <is>
          <t>↑  Self-employment tax is ~15.3% PLUS federal/state income tax. Most people use 25–30% total as a safe estimate.</t>
        </is>
      </c>
      <c r="C67" s="39" t="n"/>
      <c r="D67" s="39" t="n"/>
    </row>
    <row r="68" ht="18" customHeight="1">
      <c r="B68" s="21" t="inlineStr">
        <is>
          <t>Calculated Tax Estimate (Living + Business × rate)</t>
        </is>
      </c>
      <c r="C68" s="14" t="n"/>
      <c r="D68" s="33">
        <f>(D48+D61)*D66</f>
        <v/>
      </c>
    </row>
    <row r="69" ht="18" customHeight="1">
      <c r="B69" s="21" t="inlineStr">
        <is>
          <t>Retirement / Long-Term Savings</t>
        </is>
      </c>
      <c r="C69" s="14" t="n">
        <v>3600</v>
      </c>
      <c r="D69" s="15" t="n"/>
    </row>
    <row r="70" ht="24" customHeight="1">
      <c r="B70" s="40" t="inlineStr">
        <is>
          <t>Total Taxes + Savings</t>
        </is>
      </c>
      <c r="C70" s="41" t="n"/>
      <c r="D70" s="42">
        <f>D68+D69</f>
        <v/>
      </c>
    </row>
    <row r="71" ht="6" customHeight="1"/>
    <row r="72" ht="22" customHeight="1">
      <c r="B72" s="43" t="inlineStr">
        <is>
          <t>SECTION 5 — Your Annual Revenue Goal</t>
        </is>
      </c>
      <c r="C72" s="44" t="n"/>
      <c r="D72" s="44" t="n"/>
    </row>
    <row r="73" ht="18" customHeight="1">
      <c r="B73" s="45" t="inlineStr">
        <is>
          <t>Component</t>
        </is>
      </c>
      <c r="C73" s="46" t="inlineStr">
        <is>
          <t>Example</t>
        </is>
      </c>
      <c r="D73" s="46" t="inlineStr">
        <is>
          <t>Calculated</t>
        </is>
      </c>
    </row>
    <row r="74" ht="18" customHeight="1">
      <c r="B74" s="47" t="inlineStr">
        <is>
          <t>Annual Living Costs</t>
        </is>
      </c>
      <c r="C74" s="48" t="n">
        <v>33600</v>
      </c>
      <c r="D74" s="49">
        <f>D48</f>
        <v/>
      </c>
    </row>
    <row r="75" ht="18" customHeight="1">
      <c r="B75" s="47" t="inlineStr">
        <is>
          <t>Annual Business Costs</t>
        </is>
      </c>
      <c r="C75" s="48" t="n">
        <v>13200</v>
      </c>
      <c r="D75" s="49">
        <f>D61</f>
        <v/>
      </c>
    </row>
    <row r="76" ht="18" customHeight="1">
      <c r="B76" s="47" t="inlineStr">
        <is>
          <t>Taxes + Savings</t>
        </is>
      </c>
      <c r="C76" s="48" t="n">
        <v>13000</v>
      </c>
      <c r="D76" s="49">
        <f>D70</f>
        <v/>
      </c>
    </row>
    <row r="77" ht="30" customHeight="1">
      <c r="B77" s="50" t="inlineStr">
        <is>
          <t>TOTAL REVENUE GOAL — just to be okay</t>
        </is>
      </c>
      <c r="C77" s="44" t="n"/>
      <c r="D77" s="51">
        <f>D74+D75+D76</f>
        <v/>
      </c>
    </row>
    <row r="78" ht="8" customHeight="1"/>
    <row r="79" ht="14" customHeight="1">
      <c r="B79" s="52" t="inlineStr">
        <is>
          <t>Yellow cells = enter your numbers  |  Dark cells = auto-calculated  |  Not rich. Not comfortable. Just okay.</t>
        </is>
      </c>
    </row>
  </sheetData>
  <mergeCells count="27">
    <mergeCell ref="B42:D42"/>
    <mergeCell ref="B67:D67"/>
    <mergeCell ref="B8:D8"/>
    <mergeCell ref="B29:D29"/>
    <mergeCell ref="B77:C77"/>
    <mergeCell ref="B28:D28"/>
    <mergeCell ref="B70:C70"/>
    <mergeCell ref="B48:C48"/>
    <mergeCell ref="B49:D49"/>
    <mergeCell ref="B61:C61"/>
    <mergeCell ref="B14:C14"/>
    <mergeCell ref="B51:D51"/>
    <mergeCell ref="B64:D64"/>
    <mergeCell ref="B33:D33"/>
    <mergeCell ref="B5:D5"/>
    <mergeCell ref="B79:D79"/>
    <mergeCell ref="B26:D26"/>
    <mergeCell ref="B62:D62"/>
    <mergeCell ref="B40:C40"/>
    <mergeCell ref="B7:D7"/>
    <mergeCell ref="B25:D25"/>
    <mergeCell ref="B72:D72"/>
    <mergeCell ref="B3:D3"/>
    <mergeCell ref="B24:C24"/>
    <mergeCell ref="B31:D31"/>
    <mergeCell ref="B27:D27"/>
    <mergeCell ref="B2:D2"/>
  </mergeCells>
  <pageMargins left="0.5" right="0.5" top="0.5" bottom="0.5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D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8" customWidth="1" min="2" max="2"/>
    <col width="20" customWidth="1" min="3" max="3"/>
    <col width="20" customWidth="1" min="4" max="4"/>
    <col width="3" customWidth="1" min="5" max="5"/>
  </cols>
  <sheetData>
    <row r="1" ht="8" customHeight="1"/>
    <row r="2" ht="36" customHeight="1">
      <c r="B2" s="53" t="inlineStr">
        <is>
          <t>Artist Pricing Calculator</t>
        </is>
      </c>
      <c r="C2" s="54" t="n"/>
      <c r="D2" s="54" t="n"/>
    </row>
    <row r="3" ht="16" customHeight="1">
      <c r="B3" s="55" t="inlineStr">
        <is>
          <t>Pricing is part math, part mindset. Here's the math.</t>
        </is>
      </c>
      <c r="C3" s="56" t="n"/>
      <c r="D3" s="56" t="n"/>
    </row>
    <row r="4" ht="6" customHeight="1"/>
    <row r="5" ht="22" customHeight="1">
      <c r="B5" s="5" t="inlineStr">
        <is>
          <t>PART A — Revenue Goal (links automatically from Budget sheet)</t>
        </is>
      </c>
      <c r="C5" s="6" t="n"/>
      <c r="D5" s="6" t="n"/>
    </row>
    <row r="6" ht="18" customHeight="1">
      <c r="B6" s="7" t="inlineStr"/>
      <c r="C6" s="8" t="inlineStr">
        <is>
          <t>Example</t>
        </is>
      </c>
      <c r="D6" s="8" t="inlineStr">
        <is>
          <t>Your Number</t>
        </is>
      </c>
    </row>
    <row r="7" ht="18" customHeight="1">
      <c r="B7" s="13" t="inlineStr">
        <is>
          <t>Annual Revenue Goal (auto-linked)</t>
        </is>
      </c>
      <c r="C7" s="14" t="n">
        <v>59800</v>
      </c>
      <c r="D7" s="33">
        <f>'Budget &amp; Revenue Goal'!D77</f>
        <v/>
      </c>
    </row>
    <row r="8" ht="6" customHeight="1"/>
    <row r="9" ht="22" customHeight="1">
      <c r="B9" s="5" t="inlineStr">
        <is>
          <t>PART B — What Hourly Rate Do You Need?</t>
        </is>
      </c>
      <c r="C9" s="6" t="n"/>
      <c r="D9" s="6" t="n"/>
    </row>
    <row r="10" ht="18" customHeight="1">
      <c r="B10" s="7" t="inlineStr"/>
      <c r="C10" s="8" t="inlineStr">
        <is>
          <t>Example</t>
        </is>
      </c>
      <c r="D10" s="8" t="inlineStr">
        <is>
          <t>Your Number</t>
        </is>
      </c>
    </row>
    <row r="11" ht="18" customHeight="1">
      <c r="B11" s="13" t="inlineStr">
        <is>
          <t>Working weeks per year (48 = 4 weeks off)</t>
        </is>
      </c>
      <c r="C11" s="57" t="n">
        <v>48</v>
      </c>
      <c r="D11" s="58" t="n"/>
    </row>
    <row r="12" ht="18" customHeight="1">
      <c r="B12" s="13" t="inlineStr">
        <is>
          <t>Productive hours per week (be honest)</t>
        </is>
      </c>
      <c r="C12" s="57" t="n">
        <v>15</v>
      </c>
      <c r="D12" s="58" t="n"/>
    </row>
    <row r="13" ht="18" customHeight="1">
      <c r="B13" s="13" t="inlineStr">
        <is>
          <t>Total billable hours/year</t>
        </is>
      </c>
      <c r="C13" s="57" t="n">
        <v>720</v>
      </c>
      <c r="D13" s="59">
        <f>D11*D12</f>
        <v/>
      </c>
    </row>
    <row r="14" ht="24" customHeight="1">
      <c r="B14" s="30" t="inlineStr">
        <is>
          <t>Required Hourly Rate</t>
        </is>
      </c>
      <c r="C14" s="31" t="n"/>
      <c r="D14" s="32">
        <f>IFERROR(D7/D13,"—")</f>
        <v/>
      </c>
    </row>
    <row r="15" ht="24" customHeight="1">
      <c r="B15" s="60" t="inlineStr">
        <is>
          <t>↑  Where do the other hours go?  Admin + emails (~2 hrs) · Photography + listings (~1 hr) · Packing + shipping (~1 hr) · Social media (~1 hr) = 5 hrs gone before you pick up a tool.</t>
        </is>
      </c>
      <c r="C15" s="39" t="n"/>
      <c r="D15" s="39" t="n"/>
    </row>
    <row r="16" ht="6" customHeight="1"/>
    <row r="17" ht="22" customHeight="1">
      <c r="B17" s="5" t="inlineStr">
        <is>
          <t>SKILLED TRADE RATE BENCHMARKS — They work with their hands too. So do you.</t>
        </is>
      </c>
      <c r="C17" s="6" t="n"/>
      <c r="D17" s="6" t="n"/>
    </row>
    <row r="18" ht="16" customHeight="1">
      <c r="B18" s="7" t="inlineStr">
        <is>
          <t>Trade</t>
        </is>
      </c>
      <c r="C18" s="61" t="inlineStr">
        <is>
          <t>Typical Hourly Rate</t>
        </is>
      </c>
      <c r="D18" s="61" t="inlineStr">
        <is>
          <t>What They Do</t>
        </is>
      </c>
    </row>
    <row r="19" ht="22" customHeight="1">
      <c r="B19" s="13" t="inlineStr">
        <is>
          <t>Electrician</t>
        </is>
      </c>
      <c r="C19" s="62" t="inlineStr">
        <is>
          <t>$85 – $150/hr</t>
        </is>
      </c>
      <c r="D19" s="63" t="inlineStr">
        <is>
          <t>Wires your house. Licensed after ~4 yr apprenticeship.</t>
        </is>
      </c>
    </row>
    <row r="20" ht="22" customHeight="1">
      <c r="B20" s="64" t="inlineStr">
        <is>
          <t>Plumber</t>
        </is>
      </c>
      <c r="C20" s="65" t="inlineStr">
        <is>
          <t>$75 – $130/hr</t>
        </is>
      </c>
      <c r="D20" s="28" t="inlineStr">
        <is>
          <t>Fixes pipes. Licensed after ~4–5 yr apprenticeship.</t>
        </is>
      </c>
    </row>
    <row r="21" ht="22" customHeight="1">
      <c r="B21" s="13" t="inlineStr">
        <is>
          <t>Carpenter / Finish Work</t>
        </is>
      </c>
      <c r="C21" s="62" t="inlineStr">
        <is>
          <t>$70 – $120/hr</t>
        </is>
      </c>
      <c r="D21" s="63" t="inlineStr">
        <is>
          <t>Builds cabinets, trim, custom work. Your glass sits in their spaces.</t>
        </is>
      </c>
    </row>
    <row r="22" ht="22" customHeight="1">
      <c r="B22" s="64" t="inlineStr">
        <is>
          <t>Auto Mechanic</t>
        </is>
      </c>
      <c r="C22" s="65" t="inlineStr">
        <is>
          <t>$80 – $130/hr</t>
        </is>
      </c>
      <c r="D22" s="28" t="inlineStr">
        <is>
          <t>Diagnoses and repairs. ASE certified after years of training.</t>
        </is>
      </c>
    </row>
    <row r="23" ht="22" customHeight="1">
      <c r="B23" s="13" t="inlineStr">
        <is>
          <t>HVAC Technician</t>
        </is>
      </c>
      <c r="C23" s="62" t="inlineStr">
        <is>
          <t>$75 – $125/hr</t>
        </is>
      </c>
      <c r="D23" s="63" t="inlineStr">
        <is>
          <t>Installs and services heating and cooling systems.</t>
        </is>
      </c>
    </row>
    <row r="24" ht="22" customHeight="1">
      <c r="B24" s="66" t="inlineStr">
        <is>
          <t>You — glass artist</t>
        </is>
      </c>
      <c r="C24" s="67" t="inlineStr">
        <is>
          <t>???</t>
        </is>
      </c>
      <c r="D24" s="24" t="inlineStr">
        <is>
          <t>Years of training. Fire. Skill. One-of-a-kind objects. Your rate should be in this range.</t>
        </is>
      </c>
    </row>
    <row r="25" ht="6" customHeight="1"/>
    <row r="26" ht="22" customHeight="1">
      <c r="B26" s="5" t="inlineStr">
        <is>
          <t>PART C — Price Per Piece (if art sales are your main income)</t>
        </is>
      </c>
      <c r="C26" s="6" t="n"/>
      <c r="D26" s="6" t="n"/>
    </row>
    <row r="27" ht="18" customHeight="1">
      <c r="B27" s="7" t="inlineStr"/>
      <c r="C27" s="8" t="inlineStr">
        <is>
          <t>Example</t>
        </is>
      </c>
      <c r="D27" s="8" t="inlineStr">
        <is>
          <t>Your Number</t>
        </is>
      </c>
    </row>
    <row r="28" ht="18" customHeight="1">
      <c r="B28" s="13" t="inlineStr">
        <is>
          <t>Pieces you plan to sell per year</t>
        </is>
      </c>
      <c r="C28" s="57" t="n">
        <v>40</v>
      </c>
      <c r="D28" s="58" t="n"/>
    </row>
    <row r="29" ht="24" customHeight="1">
      <c r="B29" s="30" t="inlineStr">
        <is>
          <t>Target Price per Piece</t>
        </is>
      </c>
      <c r="C29" s="31" t="n"/>
      <c r="D29" s="32">
        <f>IFERROR(D7/D28,"—")</f>
        <v/>
      </c>
    </row>
    <row r="30" ht="6" customHeight="1"/>
    <row r="31" ht="22" customHeight="1">
      <c r="B31" s="43" t="inlineStr">
        <is>
          <t>PART D — Gallery Consignment Math  (run this BEFORE you sign anything)</t>
        </is>
      </c>
      <c r="C31" s="44" t="n"/>
      <c r="D31" s="44" t="n"/>
    </row>
    <row r="32" ht="18" customHeight="1">
      <c r="B32" s="7" t="inlineStr"/>
      <c r="C32" s="8" t="inlineStr">
        <is>
          <t>Example</t>
        </is>
      </c>
      <c r="D32" s="8" t="inlineStr">
        <is>
          <t>Your Piece</t>
        </is>
      </c>
    </row>
    <row r="33" ht="18" customHeight="1">
      <c r="B33" s="13" t="inlineStr">
        <is>
          <t>Your retail price</t>
        </is>
      </c>
      <c r="C33" s="14" t="n">
        <v>600</v>
      </c>
      <c r="D33" s="15" t="n"/>
    </row>
    <row r="34" ht="18" customHeight="1">
      <c r="B34" s="13" t="inlineStr">
        <is>
          <t>Gallery consignment % (typically 40–50%)</t>
        </is>
      </c>
      <c r="C34" s="36" t="n">
        <v>0.5</v>
      </c>
      <c r="D34" s="37" t="n"/>
    </row>
    <row r="35" ht="18" customHeight="1">
      <c r="B35" s="13" t="inlineStr">
        <is>
          <t>Your take-home after split</t>
        </is>
      </c>
      <c r="C35" s="14" t="n"/>
      <c r="D35" s="33">
        <f>D33*(1-D34)</f>
        <v/>
      </c>
    </row>
    <row r="36" ht="18" customHeight="1">
      <c r="B36" s="13" t="inlineStr">
        <is>
          <t>Materials cost</t>
        </is>
      </c>
      <c r="C36" s="14" t="n">
        <v>45</v>
      </c>
      <c r="D36" s="15" t="n"/>
    </row>
    <row r="37" ht="18" customHeight="1">
      <c r="B37" s="13" t="inlineStr">
        <is>
          <t>Overhead per piece</t>
        </is>
      </c>
      <c r="C37" s="14" t="n">
        <v>30</v>
      </c>
      <c r="D37" s="15" t="n"/>
    </row>
    <row r="38" ht="18" customHeight="1">
      <c r="B38" s="13" t="inlineStr">
        <is>
          <t>Hours to make (be honest — include setup &amp; cleanup)</t>
        </is>
      </c>
      <c r="C38" s="57" t="n">
        <v>8</v>
      </c>
      <c r="D38" s="58" t="n"/>
    </row>
    <row r="39" ht="18" customHeight="1">
      <c r="B39" s="13" t="inlineStr">
        <is>
          <t>Left for your time</t>
        </is>
      </c>
      <c r="C39" s="14" t="n"/>
      <c r="D39" s="33">
        <f>D35-D36-D37</f>
        <v/>
      </c>
    </row>
    <row r="40" ht="24" customHeight="1">
      <c r="B40" s="43" t="inlineStr">
        <is>
          <t>Your Effective Hourly Rate</t>
        </is>
      </c>
      <c r="C40" s="44" t="n"/>
      <c r="D40" s="68">
        <f>IFERROR(D39/D38,"—")</f>
        <v/>
      </c>
    </row>
    <row r="41" ht="24" customHeight="1">
      <c r="B41" s="69" t="inlineStr">
        <is>
          <t>↑  If this number is under $20/hr, you need to either raise your retail price or reduce your hours. Price for the split, not before it.</t>
        </is>
      </c>
      <c r="C41" s="4" t="n"/>
      <c r="D41" s="4" t="n"/>
    </row>
    <row r="42" ht="6" customHeight="1"/>
    <row r="43" ht="22" customHeight="1">
      <c r="B43" s="5" t="inlineStr">
        <is>
          <t>PART E — Cost-Plus Pricing for a Single Piece</t>
        </is>
      </c>
      <c r="C43" s="6" t="n"/>
      <c r="D43" s="6" t="n"/>
    </row>
    <row r="44" ht="18" customHeight="1">
      <c r="B44" s="7" t="inlineStr">
        <is>
          <t>Cost Component</t>
        </is>
      </c>
      <c r="C44" s="8" t="inlineStr">
        <is>
          <t>Example (tumbler)</t>
        </is>
      </c>
      <c r="D44" s="8" t="inlineStr">
        <is>
          <t>Your Piece</t>
        </is>
      </c>
    </row>
    <row r="45" ht="18" customHeight="1">
      <c r="B45" s="13" t="inlineStr">
        <is>
          <t>Materials / Supplies</t>
        </is>
      </c>
      <c r="C45" s="14" t="n">
        <v>12</v>
      </c>
      <c r="D45" s="15" t="n"/>
    </row>
    <row r="46" ht="18" customHeight="1">
      <c r="B46" s="13" t="inlineStr">
        <is>
          <t>Hours on this piece (include setup &amp; cleanup)</t>
        </is>
      </c>
      <c r="C46" s="57" t="n">
        <v>2</v>
      </c>
      <c r="D46" s="58" t="n"/>
    </row>
    <row r="47" ht="18" customHeight="1">
      <c r="B47" s="13" t="inlineStr">
        <is>
          <t>Your hourly rate (from Part B)</t>
        </is>
      </c>
      <c r="C47" s="70" t="n">
        <v>83</v>
      </c>
      <c r="D47" s="71">
        <f>D14</f>
        <v/>
      </c>
    </row>
    <row r="48" ht="18" customHeight="1">
      <c r="B48" s="13" t="inlineStr">
        <is>
          <t>Studio time cost</t>
        </is>
      </c>
      <c r="C48" s="14" t="n"/>
      <c r="D48" s="33">
        <f>IFERROR(D46*D47,0)</f>
        <v/>
      </c>
    </row>
    <row r="49" ht="18" customHeight="1">
      <c r="B49" s="13" t="inlineStr">
        <is>
          <t>Overhead per piece (rent, energy, tools)</t>
        </is>
      </c>
      <c r="C49" s="14" t="n">
        <v>15</v>
      </c>
      <c r="D49" s="15" t="n"/>
    </row>
    <row r="50" ht="18" customHeight="1">
      <c r="B50" s="13" t="inlineStr">
        <is>
          <t>Desired profit margin</t>
        </is>
      </c>
      <c r="C50" s="14" t="n">
        <v>30</v>
      </c>
      <c r="D50" s="15" t="n"/>
    </row>
    <row r="51" ht="24" customHeight="1">
      <c r="B51" s="30" t="inlineStr">
        <is>
          <t>Suggested Floor Price (before artistic value)</t>
        </is>
      </c>
      <c r="C51" s="31" t="n"/>
      <c r="D51" s="32">
        <f>D45+D48+D49+D50</f>
        <v/>
      </c>
    </row>
    <row r="52" ht="15" customHeight="1">
      <c r="B52" s="55" t="inlineStr">
        <is>
          <t>↑  This is your floor — never go below it. Add story, scarcity, and skill on top. That's where floor becomes price.</t>
        </is>
      </c>
      <c r="C52" s="56" t="n"/>
      <c r="D52" s="56" t="n"/>
    </row>
    <row r="53" ht="6" customHeight="1"/>
    <row r="54" ht="22" customHeight="1">
      <c r="B54" s="5" t="inlineStr">
        <is>
          <t>PART F — Blended Income Model  (one stream is fragile — multiple streams are resilient)</t>
        </is>
      </c>
      <c r="C54" s="6" t="n"/>
      <c r="D54" s="6" t="n"/>
    </row>
    <row r="55" ht="18" customHeight="1">
      <c r="B55" s="7" t="inlineStr">
        <is>
          <t>Income Stream</t>
        </is>
      </c>
      <c r="C55" s="8" t="inlineStr">
        <is>
          <t>Example</t>
        </is>
      </c>
      <c r="D55" s="8" t="inlineStr">
        <is>
          <t>Your Plan</t>
        </is>
      </c>
    </row>
    <row r="56" ht="18" customHeight="1">
      <c r="B56" s="72" t="inlineStr">
        <is>
          <t>Art / Piece Sales</t>
        </is>
      </c>
      <c r="C56" s="17" t="n">
        <v>35000</v>
      </c>
      <c r="D56" s="73" t="n"/>
    </row>
    <row r="57" ht="18" customHeight="1">
      <c r="B57" s="72" t="inlineStr">
        <is>
          <t>Teaching / Workshops</t>
        </is>
      </c>
      <c r="C57" s="17" t="n">
        <v>20000</v>
      </c>
      <c r="D57" s="73" t="n"/>
    </row>
    <row r="58" ht="18" customHeight="1">
      <c r="B58" s="72" t="inlineStr">
        <is>
          <t>Commissions</t>
        </is>
      </c>
      <c r="C58" s="17" t="n">
        <v>15000</v>
      </c>
      <c r="D58" s="73" t="n"/>
    </row>
    <row r="59" ht="18" customHeight="1">
      <c r="B59" s="72" t="inlineStr">
        <is>
          <t>Grants / Residencies</t>
        </is>
      </c>
      <c r="C59" s="17" t="n">
        <v>8000</v>
      </c>
      <c r="D59" s="73" t="n"/>
    </row>
    <row r="60" ht="18" customHeight="1">
      <c r="B60" s="72" t="inlineStr">
        <is>
          <t>Day Job / Freelance / Other</t>
        </is>
      </c>
      <c r="C60" s="17" t="n">
        <v>7000</v>
      </c>
      <c r="D60" s="73" t="n"/>
    </row>
    <row r="61" ht="18" customHeight="1">
      <c r="B61" s="72" t="inlineStr">
        <is>
          <t>Other</t>
        </is>
      </c>
      <c r="C61" s="17" t="n">
        <v>0</v>
      </c>
      <c r="D61" s="73" t="n"/>
    </row>
    <row r="62" ht="24" customHeight="1">
      <c r="B62" s="30" t="inlineStr">
        <is>
          <t>Total Blended Income</t>
        </is>
      </c>
      <c r="C62" s="31" t="n"/>
      <c r="D62" s="32">
        <f>SUM(D56:D61)</f>
        <v/>
      </c>
    </row>
    <row r="63" ht="24" customHeight="1">
      <c r="B63" s="74" t="inlineStr">
        <is>
          <t>Remaining Gap to Goal</t>
        </is>
      </c>
      <c r="C63" s="27" t="n"/>
      <c r="D63" s="75">
        <f>D7-D62</f>
        <v/>
      </c>
    </row>
    <row r="64" ht="6" customHeight="1"/>
    <row r="65" ht="14" customHeight="1">
      <c r="B65" s="52" t="inlineStr">
        <is>
          <t>Yellow = enter your numbers  |  When the gap hits $0, your blended income covers your goal</t>
        </is>
      </c>
    </row>
  </sheetData>
  <mergeCells count="19">
    <mergeCell ref="B62:C62"/>
    <mergeCell ref="B17:D17"/>
    <mergeCell ref="B9:D9"/>
    <mergeCell ref="B14:C14"/>
    <mergeCell ref="B65:D65"/>
    <mergeCell ref="B15:D15"/>
    <mergeCell ref="B5:D5"/>
    <mergeCell ref="B29:C29"/>
    <mergeCell ref="B41:D41"/>
    <mergeCell ref="B26:D26"/>
    <mergeCell ref="B40:C40"/>
    <mergeCell ref="B54:D54"/>
    <mergeCell ref="B3:D3"/>
    <mergeCell ref="B31:D31"/>
    <mergeCell ref="B51:C51"/>
    <mergeCell ref="B52:D52"/>
    <mergeCell ref="B63:C63"/>
    <mergeCell ref="B43:D43"/>
    <mergeCell ref="B2:D2"/>
  </mergeCells>
  <pageMargins left="0.5" right="0.5" top="0.5" bottom="0.5" header="0.5" footer="0.5"/>
  <pageSetup orientation="portrait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D2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26" customWidth="1" min="3" max="3"/>
    <col width="26" customWidth="1" min="4" max="4"/>
    <col width="3" customWidth="1" min="5" max="5"/>
  </cols>
  <sheetData>
    <row r="1" ht="8" customHeight="1"/>
    <row r="2" ht="36" customHeight="1">
      <c r="B2" s="76" t="inlineStr">
        <is>
          <t>Quick Reference — Formulas &amp; Real Talk</t>
        </is>
      </c>
      <c r="C2" s="77" t="n"/>
      <c r="D2" s="77" t="n"/>
    </row>
    <row r="3" ht="6" customHeight="1"/>
    <row r="4" ht="18" customHeight="1">
      <c r="B4" s="7" t="inlineStr">
        <is>
          <t>Formula</t>
        </is>
      </c>
      <c r="C4" s="7" t="inlineStr">
        <is>
          <t>What It Means</t>
        </is>
      </c>
      <c r="D4" s="7" t="inlineStr">
        <is>
          <t>Example</t>
        </is>
      </c>
    </row>
    <row r="5" ht="40" customHeight="1">
      <c r="B5" s="78" t="inlineStr">
        <is>
          <t>Revenue Goal = Living + Business + Taxes + Savings</t>
        </is>
      </c>
      <c r="C5" s="79" t="inlineStr">
        <is>
          <t>Everything your art needs to generate — not to get rich, just to be okay</t>
        </is>
      </c>
      <c r="D5" s="79" t="inlineStr">
        <is>
          <t>Mid-country: ~$60K. Bay Area: ~$85K+</t>
        </is>
      </c>
    </row>
    <row r="6" ht="40" customHeight="1">
      <c r="B6" s="80" t="inlineStr">
        <is>
          <t>Hourly Rate = Revenue Goal ÷ Billable Hours</t>
        </is>
      </c>
      <c r="C6" s="81" t="inlineStr">
        <is>
          <t>Reverse-engineer from your annual goal. Most artists need $50–90/hr minimum.</t>
        </is>
      </c>
      <c r="D6" s="81" t="inlineStr">
        <is>
          <t>$60K ÷ 720 hrs = $83/hr</t>
        </is>
      </c>
    </row>
    <row r="7" ht="40" customHeight="1">
      <c r="B7" s="78" t="inlineStr">
        <is>
          <t>Price per Piece = Revenue Goal ÷ Pieces per Year</t>
        </is>
      </c>
      <c r="C7" s="79" t="inlineStr">
        <is>
          <t>If art sales are your main income stream. Selling 40 pieces: $60K ÷ 40 = $1,500 each.</t>
        </is>
      </c>
      <c r="D7" s="79" t="inlineStr">
        <is>
          <t>$60K ÷ 40 pieces = $1,500</t>
        </is>
      </c>
    </row>
    <row r="8" ht="40" customHeight="1">
      <c r="B8" s="80" t="inlineStr">
        <is>
          <t>Cost-Plus = Materials + Time + Overhead + Profit</t>
        </is>
      </c>
      <c r="C8" s="81" t="inlineStr">
        <is>
          <t>Your absolute floor. Never go below this. Add story and skill on top.</t>
        </is>
      </c>
      <c r="D8" s="81" t="inlineStr">
        <is>
          <t>$12 + $80 + $15 + $30 = $137 floor</t>
        </is>
      </c>
    </row>
    <row r="9" ht="40" customHeight="1">
      <c r="B9" s="78" t="inlineStr">
        <is>
          <t>Gallery Take-Home = Retail × (1 − Consignment %)</t>
        </is>
      </c>
      <c r="C9" s="79" t="inlineStr">
        <is>
          <t>Price for the split, not before it. 50% consignment on $600 = $300 to you.</t>
        </is>
      </c>
      <c r="D9" s="79" t="inlineStr">
        <is>
          <t>$600 × 50% split → $300 to you</t>
        </is>
      </c>
    </row>
    <row r="10" ht="40" customHeight="1">
      <c r="B10" s="80" t="inlineStr">
        <is>
          <t>Effective Hourly Rate = (Take-Home − Costs) ÷ Hours</t>
        </is>
      </c>
      <c r="C10" s="81" t="inlineStr">
        <is>
          <t>Run this on every gallery deal. If it's under $20/hr, the price needs to go up.</t>
        </is>
      </c>
      <c r="D10" s="81" t="inlineStr">
        <is>
          <t>($300 − $75) ÷ 8 hrs = $28/hr</t>
        </is>
      </c>
    </row>
    <row r="11" ht="40" customHeight="1">
      <c r="B11" s="78" t="inlineStr">
        <is>
          <t>Tax Set-Aside = ~25–30% of gross income</t>
        </is>
      </c>
      <c r="C11" s="79" t="inlineStr">
        <is>
          <t>Self-employment tax (~15.3%) + income tax. Set it aside before you spend it.</t>
        </is>
      </c>
      <c r="D11" s="79" t="inlineStr">
        <is>
          <t>$60K × 28% = $16,800 saved</t>
        </is>
      </c>
    </row>
    <row r="12" ht="40" customHeight="1">
      <c r="B12" s="80" t="inlineStr">
        <is>
          <t>Blended Gap = Revenue Goal − All Income Streams</t>
        </is>
      </c>
      <c r="C12" s="81" t="inlineStr">
        <is>
          <t>How much still needs to come from art sales after other streams are counted.</t>
        </is>
      </c>
      <c r="D12" s="81" t="inlineStr">
        <is>
          <t>$60K − $25K other = $35K from art</t>
        </is>
      </c>
    </row>
    <row r="14" ht="44" customHeight="1">
      <c r="B14" s="82" t="inlineStr">
        <is>
          <t>"If your pricing doesn't support your life, it's not a pricing problem — it's a business model problem. And business models can be redesigned."</t>
        </is>
      </c>
      <c r="C14" s="2" t="n"/>
      <c r="D14" s="2" t="n"/>
    </row>
    <row r="16" ht="22" customHeight="1">
      <c r="B16" s="30" t="inlineStr">
        <is>
          <t>WHAT SKILLED TRADES CHARGE — A REALITY CHECK FOR YOUR HOURLY RATE</t>
        </is>
      </c>
      <c r="C16" s="31" t="n"/>
      <c r="D16" s="31" t="n"/>
    </row>
    <row r="17" ht="20" customHeight="1">
      <c r="B17" s="83" t="inlineStr">
        <is>
          <t>Electrician</t>
        </is>
      </c>
      <c r="C17" s="84" t="inlineStr">
        <is>
          <t>$85–$150/hr</t>
        </is>
      </c>
      <c r="D17" s="83" t="inlineStr">
        <is>
          <t>4-yr apprenticeship · licensed · works with their hands</t>
        </is>
      </c>
    </row>
    <row r="18" ht="20" customHeight="1">
      <c r="B18" s="85" t="inlineStr">
        <is>
          <t>Plumber</t>
        </is>
      </c>
      <c r="C18" s="86" t="inlineStr">
        <is>
          <t>$75–$130/hr</t>
        </is>
      </c>
      <c r="D18" s="85" t="inlineStr">
        <is>
          <t>4–5 yr apprenticeship · licensed · skilled problem-solver</t>
        </is>
      </c>
    </row>
    <row r="19" ht="20" customHeight="1">
      <c r="B19" s="83" t="inlineStr">
        <is>
          <t>Carpenter / Finish Work</t>
        </is>
      </c>
      <c r="C19" s="84" t="inlineStr">
        <is>
          <t>$70–$120/hr</t>
        </is>
      </c>
      <c r="D19" s="83" t="inlineStr">
        <is>
          <t>Custom builds · years of practice · your work lives in their spaces</t>
        </is>
      </c>
    </row>
    <row r="20" ht="20" customHeight="1">
      <c r="B20" s="85" t="inlineStr">
        <is>
          <t>Auto Mechanic</t>
        </is>
      </c>
      <c r="C20" s="86" t="inlineStr">
        <is>
          <t>$80–$130/hr</t>
        </is>
      </c>
      <c r="D20" s="85" t="inlineStr">
        <is>
          <t>Certified · diagnostic skill · trained over years</t>
        </is>
      </c>
    </row>
    <row r="21" ht="20" customHeight="1">
      <c r="B21" s="83" t="inlineStr">
        <is>
          <t>HVAC Technician</t>
        </is>
      </c>
      <c r="C21" s="84" t="inlineStr">
        <is>
          <t>$75–$125/hr</t>
        </is>
      </c>
      <c r="D21" s="83" t="inlineStr">
        <is>
          <t>Specialized training · licensed in most states</t>
        </is>
      </c>
    </row>
    <row r="22" ht="20" customHeight="1">
      <c r="B22" s="87" t="inlineStr">
        <is>
          <t>Glass Artist (you)</t>
        </is>
      </c>
      <c r="C22" s="88" t="inlineStr">
        <is>
          <t>Should be in this range</t>
        </is>
      </c>
      <c r="D22" s="89" t="inlineStr">
        <is>
          <t>Years of training · fire · unique skill · one-of-a-kind objects</t>
        </is>
      </c>
    </row>
    <row r="23" ht="22" customHeight="1">
      <c r="B23" s="5" t="inlineStr">
        <is>
          <t>REAL TALK — Short Answers to Common Questions</t>
        </is>
      </c>
      <c r="C23" s="6" t="n"/>
      <c r="D23" s="6" t="n"/>
    </row>
    <row r="24" ht="38" customHeight="1">
      <c r="B24" s="80" t="inlineStr">
        <is>
          <t>When a gallery ghosts me after a submission?</t>
        </is>
      </c>
      <c r="C24" s="81" t="inlineStr">
        <is>
          <t>Follow up once: "Is there anything else you need from me?" If still nothing — move on. Ghosters aren't partners.</t>
        </is>
      </c>
      <c r="D24" s="29" t="n"/>
    </row>
    <row r="25" ht="38" customHeight="1">
      <c r="B25" s="78" t="inlineStr">
        <is>
          <t>How do I say no to unpaid work?</t>
        </is>
      </c>
      <c r="C25" s="79" t="inlineStr">
        <is>
          <t>"I don't have the bandwidth right now, but I'd love to be considered for paid opportunities." No apology. No explanation.</t>
        </is>
      </c>
      <c r="D25" s="90" t="n"/>
    </row>
    <row r="26" ht="38" customHeight="1">
      <c r="B26" s="80" t="inlineStr">
        <is>
          <t>Do I need an LLC?</t>
        </is>
      </c>
      <c r="C26" s="81" t="inlineStr">
        <is>
          <t>Probably not yet. A separate bank account matters more right now. Ask an accountant — not the internet.</t>
        </is>
      </c>
      <c r="D26" s="29" t="n"/>
    </row>
    <row r="27" ht="38" customHeight="1">
      <c r="B27" s="78" t="inlineStr">
        <is>
          <t>Commission goes sideways?</t>
        </is>
      </c>
      <c r="C27" s="79" t="inlineStr">
        <is>
          <t>A contract with 30–50% deposit upfront (non-refundable) fixes 80% of this. No contract = negotiating from zero.</t>
        </is>
      </c>
      <c r="D27" s="90" t="n"/>
    </row>
    <row r="28" ht="38" customHeight="1">
      <c r="B28" s="80" t="inlineStr">
        <is>
          <t>What can I deduct on taxes?</t>
        </is>
      </c>
      <c r="C28" s="81" t="inlineStr">
        <is>
          <t>Materials, studio rent, equipment, shows, mileage, professional development, portion of phone. Track everything.</t>
        </is>
      </c>
      <c r="D28" s="29" t="n"/>
    </row>
    <row r="29" ht="38" customHeight="1">
      <c r="B29" s="78" t="inlineStr">
        <is>
          <t>I feel like a fraud charging real prices.</t>
        </is>
      </c>
      <c r="C29" s="79" t="inlineStr">
        <is>
          <t>Yes. Completely normal. It never fully goes away. Confident artists feel it too — they charge anyway. That's the move.</t>
        </is>
      </c>
      <c r="D29" s="90" t="n"/>
    </row>
  </sheetData>
  <mergeCells count="10">
    <mergeCell ref="B14:D14"/>
    <mergeCell ref="C24:D24"/>
    <mergeCell ref="C29:D29"/>
    <mergeCell ref="B23:D23"/>
    <mergeCell ref="C25:D25"/>
    <mergeCell ref="C27:D27"/>
    <mergeCell ref="B2:D2"/>
    <mergeCell ref="C28:D28"/>
    <mergeCell ref="C26:D26"/>
    <mergeCell ref="B16:D16"/>
  </mergeCells>
  <pageMargins left="0.5" right="0.5" top="0.5" bottom="0.5" header="0.5" footer="0.5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2026-05-13T02:23:44Z</dcterms:created>
  <dcterms:modified xmlns:dcterms="http://purl.org/dc/terms/" xmlns:xsi="http://www.w3.org/2001/XMLSchema-instance" xsi:type="dcterms:W3CDTF">2026-05-13T02:23:44Z</dcterms:modified>
</cp:coreProperties>
</file>